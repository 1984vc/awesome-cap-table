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napshot" sheetId="1" r:id="rId1"/>
    <sheet name="Stakeholder Snapshot" sheetId="2" r:id="rId2"/>
    <sheet name="Voting by SH Group" sheetId="3" r:id="rId3"/>
    <sheet name="Context" sheetId="4" r:id="rId4"/>
  </sheets>
  <calcPr calcId="124519" fullCalcOnLoad="1"/>
</workbook>
</file>

<file path=xl/sharedStrings.xml><?xml version="1.0" encoding="utf-8"?>
<sst xmlns="http://schemas.openxmlformats.org/spreadsheetml/2006/main" count="22" uniqueCount="22">
  <si>
    <t>Example Startup, Inc. Summary Capitalization</t>
  </si>
  <si>
    <t>Example Startup, Inc. Capitalization by Stakeholder</t>
  </si>
  <si>
    <t>Stakeholder</t>
  </si>
  <si>
    <t>Stakeholder Group</t>
  </si>
  <si>
    <t>Common Stock</t>
  </si>
  <si>
    <t>Example Employee Option Plan</t>
  </si>
  <si>
    <t>Total Stock
(outstanding)*</t>
  </si>
  <si>
    <t>Total Stock
(as converted)</t>
  </si>
  <si>
    <t>Total Stock %
(as converted)</t>
  </si>
  <si>
    <t>Fully Diluted Shares**</t>
  </si>
  <si>
    <t>Fully Diluted %</t>
  </si>
  <si>
    <t>Alex Founder</t>
  </si>
  <si>
    <t>Sam Founder</t>
  </si>
  <si>
    <t>Y Combinator</t>
  </si>
  <si>
    <t>Example Angel Fund</t>
  </si>
  <si>
    <t>Options Remaining for Issuance</t>
  </si>
  <si>
    <t>Total</t>
  </si>
  <si>
    <t>Notes</t>
  </si>
  <si>
    <t>* Outstanding Shares include all shares of capital stock that are issued and outstanding, but DO NOT include (1) shares of capital stock underlying outstanding warrants and stock options, (2) shares under Stock Plans remaining for issuance or (3) conversion shares for Outstanding Convertible Securities such as convertible notes or SAFEs.</t>
  </si>
  <si>
    <t>** Fully Diluted Shares and % Fully Diluted include (1) Outstanding Shares (as converted to Common Stock), (2) shares of capital stock underlying outstanding warrants and stock options, (3) shares under Stock Plans remaining for issuance, but DO NOT include conversion shares for Outstanding Convertible Securities such as convertible notes or SAFEs.</t>
  </si>
  <si>
    <t>Voting Power by Shareholder Group</t>
  </si>
  <si>
    <t>Context</t>
  </si>
</sst>
</file>

<file path=xl/styles.xml><?xml version="1.0" encoding="utf-8"?>
<styleSheet xmlns="http://schemas.openxmlformats.org/spreadsheetml/2006/main">
  <numFmts count="4">
    <numFmt numFmtId="164" formatCode="&quot;As of &quot;yyyy.mm.dd"/>
    <numFmt numFmtId="165" formatCode="_(* #,##0_);_(* (#,##0);_(* &quot;-&quot;??_);_(@_)"/>
    <numFmt numFmtId="166" formatCode="0.00%;[Red]-0.00%;-;@"/>
    <numFmt numFmtId="167" formatCode="0.00%"/>
  </numFmts>
  <fonts count="4">
    <font>
      <sz val="11"/>
      <color theme="1"/>
      <name val="Calibri"/>
      <family val="2"/>
      <scheme val="minor"/>
    </font>
    <font>
      <b/>
      <sz val="10"/>
      <color rgb="FFFFFFFF"/>
      <name val="Calibri"/>
      <family val="2"/>
      <scheme val="minor"/>
    </font>
    <font>
      <b/>
      <sz val="10"/>
      <color theme="1"/>
      <name val="Calibri"/>
      <family val="2"/>
      <scheme val="minor"/>
    </font>
    <font>
      <sz val="10"/>
      <color theme="1"/>
      <name val="Calibri"/>
      <family val="2"/>
      <scheme val="minor"/>
    </font>
  </fonts>
  <fills count="4">
    <fill>
      <patternFill patternType="none"/>
    </fill>
    <fill>
      <patternFill patternType="gray125"/>
    </fill>
    <fill>
      <patternFill patternType="solid">
        <fgColor rgb="FF2A39C4"/>
        <bgColor indexed="64"/>
      </patternFill>
    </fill>
    <fill>
      <patternFill patternType="solid">
        <fgColor rgb="FFDDEBF7"/>
        <bgColor indexed="64"/>
      </patternFill>
    </fill>
  </fills>
  <borders count="3">
    <border>
      <left/>
      <right/>
      <top/>
      <bottom/>
      <diagonal/>
    </border>
    <border>
      <left/>
      <right/>
      <top style="thin">
        <color auto="1"/>
      </top>
      <bottom style="double">
        <color auto="1"/>
      </bottom>
      <diagonal/>
    </border>
    <border>
      <left/>
      <right/>
      <top/>
      <bottom style="thin">
        <color auto="1"/>
      </bottom>
      <diagonal/>
    </border>
  </borders>
  <cellStyleXfs count="1">
    <xf numFmtId="0" fontId="0" fillId="0" borderId="0"/>
  </cellStyleXfs>
  <cellXfs count="11">
    <xf numFmtId="0" fontId="0" fillId="0" borderId="0" xfId="0"/>
    <xf numFmtId="0" fontId="1" fillId="2" borderId="1" xfId="0" applyFont="1" applyFill="1" applyBorder="1"/>
    <xf numFmtId="164" fontId="1" fillId="2" borderId="1" xfId="0" applyNumberFormat="1" applyFont="1" applyFill="1" applyBorder="1" applyAlignment="1">
      <alignment horizontal="right"/>
    </xf>
    <xf numFmtId="0" fontId="1" fillId="2" borderId="1" xfId="0" applyFont="1" applyFill="1" applyBorder="1" applyAlignment="1">
      <alignment horizontal="left" vertical="center"/>
    </xf>
    <xf numFmtId="0" fontId="2" fillId="3" borderId="2" xfId="0" applyFont="1" applyFill="1" applyBorder="1" applyAlignment="1">
      <alignment horizontal="center" wrapText="1"/>
    </xf>
    <xf numFmtId="0" fontId="3" fillId="0" borderId="0" xfId="0" applyFont="1"/>
    <xf numFmtId="165" fontId="2" fillId="3" borderId="2" xfId="0" applyNumberFormat="1" applyFont="1" applyFill="1" applyBorder="1" applyAlignment="1">
      <alignment horizontal="center" wrapText="1"/>
    </xf>
    <xf numFmtId="165" fontId="3" fillId="0" borderId="0" xfId="0" applyNumberFormat="1" applyFont="1"/>
    <xf numFmtId="166" fontId="3" fillId="0" borderId="0" xfId="0" applyNumberFormat="1" applyFont="1"/>
    <xf numFmtId="167" fontId="2" fillId="3" borderId="2" xfId="0" applyNumberFormat="1" applyFont="1" applyFill="1" applyBorder="1" applyAlignment="1">
      <alignment horizontal="center" wrapText="1"/>
    </xf>
    <xf numFmtId="0" fontId="3" fillId="0" borderId="0" xfId="0" applyFont="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
  <sheetViews>
    <sheetView tabSelected="1" workbookViewId="0"/>
  </sheetViews>
  <sheetFormatPr defaultRowHeight="15"/>
  <sheetData>
    <row r="1" spans="1:6" ht="59.5" customHeight="1">
      <c r="A1" s="2">
        <f>Context!A1</f>
        <v>0</v>
      </c>
      <c r="B1" s="1"/>
      <c r="C1" s="3" t="s">
        <v>0</v>
      </c>
      <c r="D1" s="1"/>
      <c r="E1" s="1"/>
      <c r="F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4"/>
  <sheetViews>
    <sheetView workbookViewId="0"/>
  </sheetViews>
  <sheetFormatPr defaultRowHeight="15"/>
  <cols>
    <col min="1" max="1" width="30.7109375" customWidth="1"/>
    <col min="2" max="2" width="17.7109375" customWidth="1"/>
    <col min="3" max="9" width="15.7109375" customWidth="1"/>
  </cols>
  <sheetData>
    <row r="1" spans="1:13" ht="59.5" customHeight="1">
      <c r="A1" s="2">
        <f>Context!A1</f>
        <v>0</v>
      </c>
      <c r="B1" s="1"/>
      <c r="C1" s="3" t="s">
        <v>1</v>
      </c>
      <c r="D1" s="1"/>
      <c r="E1" s="1"/>
      <c r="F1" s="1"/>
      <c r="G1" s="1"/>
      <c r="H1" s="1"/>
      <c r="I1" s="1"/>
      <c r="J1" s="1"/>
      <c r="K1" s="1"/>
      <c r="L1" s="1"/>
      <c r="M1" s="1"/>
    </row>
    <row r="2" spans="1:13" ht="50" customHeight="1">
      <c r="A2" s="4" t="s">
        <v>2</v>
      </c>
      <c r="B2" s="4" t="s">
        <v>3</v>
      </c>
      <c r="C2" s="4" t="s">
        <v>4</v>
      </c>
      <c r="D2" s="4" t="s">
        <v>5</v>
      </c>
      <c r="E2" s="4" t="s">
        <v>6</v>
      </c>
      <c r="F2" s="4" t="s">
        <v>7</v>
      </c>
      <c r="G2" s="4" t="s">
        <v>8</v>
      </c>
      <c r="H2" s="4" t="s">
        <v>9</v>
      </c>
      <c r="I2" s="4" t="s">
        <v>10</v>
      </c>
    </row>
    <row r="3" spans="1:13">
      <c r="A3" s="5" t="s">
        <v>11</v>
      </c>
      <c r="C3" s="7">
        <v>4500000</v>
      </c>
      <c r="D3" s="7">
        <v>0</v>
      </c>
      <c r="E3" s="7">
        <f>SUM(C3)</f>
        <v>0</v>
      </c>
      <c r="F3" s="7">
        <f>SUM(C3)</f>
        <v>0</v>
      </c>
      <c r="G3" s="8">
        <f>F3/$F$10</f>
        <v>0</v>
      </c>
      <c r="H3" s="7">
        <f>SUM(C3,D3)</f>
        <v>0</v>
      </c>
      <c r="I3" s="8">
        <f>H3/$H$10</f>
        <v>0</v>
      </c>
    </row>
    <row r="4" spans="1:13">
      <c r="A4" s="5" t="s">
        <v>12</v>
      </c>
      <c r="C4" s="7">
        <v>4500000</v>
      </c>
      <c r="D4" s="7">
        <v>0</v>
      </c>
      <c r="E4" s="7">
        <f>SUM(C4)</f>
        <v>0</v>
      </c>
      <c r="F4" s="7">
        <f>SUM(C4)</f>
        <v>0</v>
      </c>
      <c r="G4" s="8">
        <f>F4/$F$10</f>
        <v>0</v>
      </c>
      <c r="H4" s="7">
        <f>SUM(C4,D4)</f>
        <v>0</v>
      </c>
      <c r="I4" s="8">
        <f>H4/$H$10</f>
        <v>0</v>
      </c>
    </row>
    <row r="5" spans="1:13">
      <c r="A5" s="5" t="s">
        <v>13</v>
      </c>
      <c r="C5" s="7">
        <v>0</v>
      </c>
      <c r="D5" s="7">
        <v>0</v>
      </c>
      <c r="E5" s="7">
        <f>SUM(C5)</f>
        <v>0</v>
      </c>
      <c r="F5" s="7">
        <f>SUM(C5)</f>
        <v>0</v>
      </c>
      <c r="G5" s="8">
        <f>F5/$F$10</f>
        <v>0</v>
      </c>
      <c r="H5" s="7">
        <f>SUM(C5,D5)</f>
        <v>0</v>
      </c>
      <c r="I5" s="8">
        <f>H5/$H$10</f>
        <v>0</v>
      </c>
    </row>
    <row r="6" spans="1:13">
      <c r="A6" s="5" t="s">
        <v>14</v>
      </c>
      <c r="C6" s="7">
        <v>0</v>
      </c>
      <c r="D6" s="7">
        <v>0</v>
      </c>
      <c r="E6" s="7">
        <f>SUM(C6)</f>
        <v>0</v>
      </c>
      <c r="F6" s="7">
        <f>SUM(C6)</f>
        <v>0</v>
      </c>
      <c r="G6" s="8">
        <f>F6/$F$10</f>
        <v>0</v>
      </c>
      <c r="H6" s="7">
        <f>SUM(C6,D6)</f>
        <v>0</v>
      </c>
      <c r="I6" s="8">
        <f>H6/$H$10</f>
        <v>0</v>
      </c>
    </row>
    <row r="8" spans="1:13">
      <c r="A8" t="s">
        <v>15</v>
      </c>
      <c r="C8" s="7">
        <v>0</v>
      </c>
      <c r="D8" s="7">
        <v>1000000</v>
      </c>
      <c r="E8" s="7">
        <v>0</v>
      </c>
      <c r="F8" s="7">
        <v>0</v>
      </c>
      <c r="G8" s="7">
        <v>0</v>
      </c>
      <c r="H8" s="7">
        <v>0</v>
      </c>
      <c r="I8" s="7">
        <v>0</v>
      </c>
    </row>
    <row r="10" spans="1:13">
      <c r="A10" s="6" t="s">
        <v>16</v>
      </c>
      <c r="B10" s="6"/>
      <c r="C10" s="6">
        <f>SUM(C3:C6)</f>
        <v>0</v>
      </c>
      <c r="D10" s="6">
        <f>SUM(D3:D6)</f>
        <v>0</v>
      </c>
      <c r="E10" s="6">
        <f>SUM(E3:E6)</f>
        <v>0</v>
      </c>
      <c r="F10" s="6">
        <f>SUM(F3:F6)</f>
        <v>0</v>
      </c>
      <c r="G10" s="9">
        <f>SUM(G3:G6)</f>
        <v>0</v>
      </c>
      <c r="H10" s="6">
        <f>SUM(H3:H6)</f>
        <v>0</v>
      </c>
      <c r="I10" s="9">
        <f>SUM(I3:I6)</f>
        <v>0</v>
      </c>
    </row>
    <row r="12" spans="1:13">
      <c r="A12" s="1" t="s">
        <v>17</v>
      </c>
      <c r="B12" s="1"/>
      <c r="C12" s="1"/>
      <c r="D12" s="1"/>
      <c r="E12" s="1"/>
      <c r="F12" s="1"/>
      <c r="G12" s="1"/>
      <c r="H12" s="1"/>
      <c r="I12" s="1"/>
      <c r="J12" s="1"/>
    </row>
    <row r="13" spans="1:13" ht="28" customHeight="1">
      <c r="A13" s="10" t="s">
        <v>18</v>
      </c>
      <c r="B13" s="10"/>
      <c r="C13" s="10"/>
      <c r="D13" s="10"/>
      <c r="E13" s="10"/>
      <c r="F13" s="10"/>
      <c r="G13" s="10"/>
      <c r="H13" s="10"/>
      <c r="I13" s="10"/>
      <c r="J13" s="10"/>
    </row>
    <row r="14" spans="1:13" ht="28" customHeight="1">
      <c r="A14" s="10" t="s">
        <v>19</v>
      </c>
      <c r="B14" s="10"/>
      <c r="C14" s="10"/>
      <c r="D14" s="10"/>
      <c r="E14" s="10"/>
      <c r="F14" s="10"/>
      <c r="G14" s="10"/>
      <c r="H14" s="10"/>
      <c r="I14" s="10"/>
      <c r="J14" s="10"/>
    </row>
  </sheetData>
  <mergeCells count="3">
    <mergeCell ref="A12:J12"/>
    <mergeCell ref="A13:J13"/>
    <mergeCell ref="A14:J14"/>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ht="59.5" customHeight="1">
      <c r="A1" s="2">
        <f>Context!A1</f>
        <v>0</v>
      </c>
      <c r="B1" s="1"/>
      <c r="C1" s="3" t="s">
        <v>20</v>
      </c>
      <c r="D1" s="1"/>
      <c r="E1" s="1"/>
      <c r="F1"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ht="59.5" customHeight="1">
      <c r="A1" s="2">
        <v>46266</v>
      </c>
      <c r="B1" s="1"/>
      <c r="C1" s="3" t="s">
        <v>21</v>
      </c>
      <c r="D1" s="1"/>
      <c r="E1" s="1"/>
      <c r="F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 Snapshot</vt:lpstr>
      <vt:lpstr>Stakeholder Snapshot</vt:lpstr>
      <vt:lpstr>Voting by SH Group</vt:lpstr>
      <vt:lpstr>Context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2026-09-01T00:00:00Z</dcterms:created>
  <dcterms:modified xsi:type="dcterms:W3CDTF">2026-09-01T00:00:00Z</dcterms:modified>
</cp:coreProperties>
</file>